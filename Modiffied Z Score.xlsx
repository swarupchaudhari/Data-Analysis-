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E895E33E0BFFC3/Documents/"/>
    </mc:Choice>
  </mc:AlternateContent>
  <xr:revisionPtr revIDLastSave="2" documentId="8_{0DA25115-2AE7-4267-867F-F743E508A488}" xr6:coauthVersionLast="47" xr6:coauthVersionMax="47" xr10:uidLastSave="{BF47F1E9-F889-4F29-875B-2CCFF2CF1E55}"/>
  <bookViews>
    <workbookView xWindow="-110" yWindow="-110" windowWidth="19420" windowHeight="11500" xr2:uid="{77DA0BBD-2287-4424-9567-4074CF447D9A}"/>
  </bookViews>
  <sheets>
    <sheet name="Sheet1" sheetId="1" r:id="rId1"/>
  </sheets>
  <definedNames>
    <definedName name="MAD">Sheet1!$E$11</definedName>
    <definedName name="meadian">Sheet1!$E$10</definedName>
    <definedName name="mean">Sheet1!$A$10</definedName>
    <definedName name="std">Sheet1!$A$11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2" i="1"/>
  <c r="F8" i="1"/>
  <c r="F7" i="1"/>
  <c r="F5" i="1"/>
  <c r="F2" i="1"/>
  <c r="F3" i="1"/>
  <c r="F4" i="1"/>
  <c r="E10" i="1"/>
  <c r="A10" i="1"/>
  <c r="A11" i="1"/>
  <c r="B2" i="1" l="1"/>
  <c r="C2" i="1" s="1"/>
  <c r="F6" i="1"/>
  <c r="E11" i="1" s="1"/>
  <c r="B8" i="1"/>
  <c r="C8" i="1" s="1"/>
  <c r="B7" i="1"/>
  <c r="C7" i="1" s="1"/>
  <c r="B4" i="1"/>
  <c r="C4" i="1" s="1"/>
  <c r="B3" i="1"/>
  <c r="C3" i="1" s="1"/>
  <c r="B6" i="1"/>
  <c r="C6" i="1" s="1"/>
  <c r="B5" i="1"/>
  <c r="C5" i="1" s="1"/>
  <c r="G8" i="1" l="1"/>
  <c r="G3" i="1"/>
  <c r="G6" i="1"/>
  <c r="G7" i="1"/>
  <c r="G2" i="1"/>
  <c r="G4" i="1"/>
  <c r="G5" i="1"/>
</calcChain>
</file>

<file path=xl/sharedStrings.xml><?xml version="1.0" encoding="utf-8"?>
<sst xmlns="http://schemas.openxmlformats.org/spreadsheetml/2006/main" count="11" uniqueCount="10">
  <si>
    <t>Z Score</t>
  </si>
  <si>
    <t>Height</t>
  </si>
  <si>
    <t>avarage</t>
  </si>
  <si>
    <t>std dev</t>
  </si>
  <si>
    <t>Z Score  &gt; 3</t>
  </si>
  <si>
    <t xml:space="preserve">Height - medean height </t>
  </si>
  <si>
    <t>MOD Z Score</t>
  </si>
  <si>
    <t>median</t>
  </si>
  <si>
    <t>mad</t>
  </si>
  <si>
    <t>mod Z score &gt; 3.5?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</si>
</sst>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AF0A4-7A08-4AEF-B484-77A247D07B1E}">
  <dimension ref="A1:H11"/>
  <sheetViews>
    <sheetView tabSelected="1" topLeftCell="C1" workbookViewId="0">
      <selection activeCell="F14" sqref="F14"/>
    </sheetView>
  </sheetViews>
  <sheetFormatPr defaultRowHeight="14.5" x14ac:dyDescent="0.35"/>
  <cols>
    <col min="5" max="5" width="15.90625" customWidth="1"/>
    <col min="6" max="6" width="23.7265625" customWidth="1"/>
    <col min="7" max="7" width="13.6328125" customWidth="1"/>
    <col min="8" max="8" width="16.7265625" customWidth="1"/>
    <col min="9" max="9" width="18.54296875" customWidth="1"/>
    <col min="10" max="10" width="12.453125" customWidth="1"/>
    <col min="11" max="11" width="15.54296875" customWidth="1"/>
  </cols>
  <sheetData>
    <row r="1" spans="1:8" x14ac:dyDescent="0.35">
      <c r="A1" s="2" t="s">
        <v>1</v>
      </c>
      <c r="B1" s="2" t="s">
        <v>0</v>
      </c>
      <c r="C1" s="2" t="s">
        <v>4</v>
      </c>
      <c r="E1" s="2" t="s">
        <v>1</v>
      </c>
      <c r="F1" s="1" t="s">
        <v>5</v>
      </c>
      <c r="G1" s="1" t="s">
        <v>6</v>
      </c>
      <c r="H1" s="1" t="s">
        <v>9</v>
      </c>
    </row>
    <row r="2" spans="1:8" x14ac:dyDescent="0.35">
      <c r="A2" s="3">
        <v>5.2</v>
      </c>
      <c r="B2" s="3">
        <f t="shared" ref="B2:B8" si="0">(A2-mean)/std</f>
        <v>-0.52503246402227333</v>
      </c>
      <c r="C2" s="3" t="b">
        <f>(B2&gt;3)</f>
        <v>0</v>
      </c>
      <c r="E2" s="3">
        <v>5.2</v>
      </c>
      <c r="F2">
        <f>ABS(E2-E10)</f>
        <v>0.29999999999999982</v>
      </c>
      <c r="G2">
        <f t="shared" ref="G2:G8" si="1">0.6745*(E2-meadian)/MAD</f>
        <v>-0.28907142857142831</v>
      </c>
      <c r="H2" t="b">
        <f>G2&gt;3.5</f>
        <v>0</v>
      </c>
    </row>
    <row r="3" spans="1:8" x14ac:dyDescent="0.35">
      <c r="A3" s="3">
        <v>4.9000000000000004</v>
      </c>
      <c r="B3" s="3">
        <f t="shared" si="0"/>
        <v>-0.68482495307253033</v>
      </c>
      <c r="C3" s="3" t="b">
        <f t="shared" ref="C3:C8" si="2">(B3&gt;3)</f>
        <v>0</v>
      </c>
      <c r="E3" s="3">
        <v>4.9000000000000004</v>
      </c>
      <c r="F3">
        <f>ABS(E3-E10)</f>
        <v>0.59999999999999964</v>
      </c>
      <c r="G3">
        <f t="shared" si="1"/>
        <v>-0.57814285714285663</v>
      </c>
      <c r="H3" t="b">
        <f t="shared" ref="H3:H8" si="3">G3&gt;3.5</f>
        <v>0</v>
      </c>
    </row>
    <row r="4" spans="1:8" x14ac:dyDescent="0.35">
      <c r="A4" s="3">
        <v>4.5</v>
      </c>
      <c r="B4" s="3">
        <f t="shared" si="0"/>
        <v>-0.89788160513953996</v>
      </c>
      <c r="C4" s="3" t="b">
        <f t="shared" si="2"/>
        <v>0</v>
      </c>
      <c r="E4" s="3">
        <v>4.5</v>
      </c>
      <c r="F4">
        <f>ABS(E4-E10)</f>
        <v>1</v>
      </c>
      <c r="G4">
        <f t="shared" si="1"/>
        <v>-0.9635714285714283</v>
      </c>
      <c r="H4" t="b">
        <f t="shared" si="3"/>
        <v>0</v>
      </c>
    </row>
    <row r="5" spans="1:8" x14ac:dyDescent="0.35">
      <c r="A5" s="3">
        <v>5.5</v>
      </c>
      <c r="B5" s="3">
        <f t="shared" si="0"/>
        <v>-0.36523997497201632</v>
      </c>
      <c r="C5" s="3" t="b">
        <f t="shared" si="2"/>
        <v>0</v>
      </c>
      <c r="E5" s="3">
        <v>5.5</v>
      </c>
      <c r="F5">
        <f>ABS(E5-E10)</f>
        <v>0</v>
      </c>
      <c r="G5">
        <f t="shared" si="1"/>
        <v>0</v>
      </c>
      <c r="H5" t="b">
        <f t="shared" si="3"/>
        <v>0</v>
      </c>
    </row>
    <row r="6" spans="1:8" x14ac:dyDescent="0.35">
      <c r="A6" s="3">
        <v>7</v>
      </c>
      <c r="B6" s="3">
        <f t="shared" si="0"/>
        <v>0.43372247027926913</v>
      </c>
      <c r="C6" s="3" t="b">
        <f t="shared" si="2"/>
        <v>0</v>
      </c>
      <c r="E6" s="3">
        <v>7</v>
      </c>
      <c r="F6">
        <f>ABS(E6-E10)</f>
        <v>1.5</v>
      </c>
      <c r="G6">
        <f t="shared" si="1"/>
        <v>1.4453571428571423</v>
      </c>
      <c r="H6" t="b">
        <f t="shared" si="3"/>
        <v>0</v>
      </c>
    </row>
    <row r="7" spans="1:8" x14ac:dyDescent="0.35">
      <c r="A7" s="3">
        <v>10</v>
      </c>
      <c r="B7" s="3">
        <f t="shared" si="0"/>
        <v>2.0316473607818399</v>
      </c>
      <c r="C7" s="3" t="b">
        <f t="shared" si="2"/>
        <v>0</v>
      </c>
      <c r="E7" s="3">
        <v>10</v>
      </c>
      <c r="F7">
        <f>ABS(E7-E10)</f>
        <v>4.5</v>
      </c>
      <c r="G7">
        <f t="shared" si="1"/>
        <v>4.3360714285714277</v>
      </c>
      <c r="H7" t="b">
        <f t="shared" si="3"/>
        <v>1</v>
      </c>
    </row>
    <row r="8" spans="1:8" x14ac:dyDescent="0.35">
      <c r="A8" s="3">
        <v>6.2</v>
      </c>
      <c r="B8" s="3">
        <f t="shared" si="0"/>
        <v>7.6091661452503106E-3</v>
      </c>
      <c r="C8" s="3" t="b">
        <f t="shared" si="2"/>
        <v>0</v>
      </c>
      <c r="E8" s="3">
        <v>6.2</v>
      </c>
      <c r="F8">
        <f>ABS(E8-E10)</f>
        <v>0.70000000000000018</v>
      </c>
      <c r="G8">
        <f t="shared" si="1"/>
        <v>0.67449999999999999</v>
      </c>
      <c r="H8" t="b">
        <f t="shared" si="3"/>
        <v>0</v>
      </c>
    </row>
    <row r="9" spans="1:8" x14ac:dyDescent="0.35">
      <c r="A9" s="3"/>
      <c r="B9" s="3"/>
      <c r="C9" s="3"/>
    </row>
    <row r="10" spans="1:8" x14ac:dyDescent="0.35">
      <c r="A10" s="3">
        <f>AVERAGE(A2:A8)</f>
        <v>6.1857142857142859</v>
      </c>
      <c r="B10" s="3" t="s">
        <v>2</v>
      </c>
      <c r="C10" s="3"/>
      <c r="E10">
        <f>MEDIAN(E2:E8)</f>
        <v>5.5</v>
      </c>
      <c r="F10" t="s">
        <v>7</v>
      </c>
    </row>
    <row r="11" spans="1:8" x14ac:dyDescent="0.35">
      <c r="A11" s="3">
        <f>_xlfn.STDEV.S(A2:A8)</f>
        <v>1.8774349269047657</v>
      </c>
      <c r="B11" s="3" t="s">
        <v>3</v>
      </c>
      <c r="C11" s="3"/>
      <c r="E11">
        <f>MEDIAN(F2:F8)</f>
        <v>0.70000000000000018</v>
      </c>
      <c r="F1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MAD</vt:lpstr>
      <vt:lpstr>meadian</vt:lpstr>
      <vt:lpstr>mean</vt:lpstr>
      <vt:lpstr>std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swarup chaudhari</dc:creator>
  <cp:lastModifiedBy>swarup chaudhari</cp:lastModifiedBy>
  <dcterms:created xsi:type="dcterms:W3CDTF">2026-02-02T15:40:56Z</dcterms:created>
  <dcterms:modified xsi:type="dcterms:W3CDTF">2026-06-11T09:43:56Z</dcterms:modified>
</cp:coreProperties>
</file>